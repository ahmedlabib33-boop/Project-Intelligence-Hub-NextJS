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OneDrive\Desktop\Delay Analysis (TIA) - Workbook\rev03-Delay Analysis (TIA) - Workbook\"/>
    </mc:Choice>
  </mc:AlternateContent>
  <xr:revisionPtr revIDLastSave="0" documentId="13_ncr:1_{8C463E07-1431-483D-A05F-E1A7F42A468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IA Summary" sheetId="1" r:id="rId1"/>
  </sheets>
  <calcPr calcId="191029"/>
</workbook>
</file>

<file path=xl/calcChain.xml><?xml version="1.0" encoding="utf-8"?>
<calcChain xmlns="http://schemas.openxmlformats.org/spreadsheetml/2006/main">
  <c r="J14" i="1" l="1"/>
  <c r="K14" i="1" s="1"/>
  <c r="I14" i="1"/>
  <c r="J13" i="1"/>
  <c r="K13" i="1" s="1"/>
  <c r="I13" i="1"/>
  <c r="J16" i="1"/>
  <c r="K16" i="1" s="1"/>
  <c r="I16" i="1"/>
  <c r="J15" i="1"/>
  <c r="K15" i="1" s="1"/>
  <c r="I15" i="1"/>
  <c r="J10" i="1" l="1"/>
  <c r="K10" i="1" s="1"/>
  <c r="I10" i="1"/>
  <c r="J9" i="1"/>
  <c r="K9" i="1" s="1"/>
  <c r="I9" i="1"/>
  <c r="J12" i="1"/>
  <c r="K12" i="1" s="1"/>
  <c r="I12" i="1"/>
  <c r="J11" i="1"/>
  <c r="K11" i="1" s="1"/>
  <c r="I11" i="1"/>
  <c r="I6" i="1"/>
  <c r="I5" i="1"/>
  <c r="I8" i="1"/>
  <c r="J8" i="1"/>
  <c r="K8" i="1" s="1"/>
  <c r="J7" i="1"/>
  <c r="K7" i="1" s="1"/>
  <c r="J6" i="1"/>
  <c r="K6" i="1" s="1"/>
  <c r="J5" i="1"/>
  <c r="K5" i="1" s="1"/>
  <c r="H20" i="1"/>
  <c r="H19" i="1"/>
  <c r="I7" i="1"/>
</calcChain>
</file>

<file path=xl/sharedStrings.xml><?xml version="1.0" encoding="utf-8"?>
<sst xmlns="http://schemas.openxmlformats.org/spreadsheetml/2006/main" count="62" uniqueCount="33">
  <si>
    <t>TIME IMPACT ANALYSIS – BEFORE / AFTER FRAGNET COMPARISON</t>
  </si>
  <si>
    <t>Delay Event</t>
  </si>
  <si>
    <t>Data Date</t>
  </si>
  <si>
    <t>Activity ID</t>
  </si>
  <si>
    <t>Milestone / Activity Name</t>
  </si>
  <si>
    <t>BEFORE FRAGNET</t>
  </si>
  <si>
    <t>AFTER FRAGNET</t>
  </si>
  <si>
    <t>Float Change
(Days)</t>
  </si>
  <si>
    <t>Finish Movement
(Calendar Days)</t>
  </si>
  <si>
    <t>Impact Assessment</t>
  </si>
  <si>
    <t>Total Float</t>
  </si>
  <si>
    <t>Forecast Finish</t>
  </si>
  <si>
    <t>KD-MS-1040</t>
  </si>
  <si>
    <t>Ground Works Finish Date</t>
  </si>
  <si>
    <t>KD-MS-1050</t>
  </si>
  <si>
    <t>Project Finish Date</t>
  </si>
  <si>
    <t>EV01 – Steel Batch 02</t>
  </si>
  <si>
    <t>EV02 – Revised IFC Drawings</t>
  </si>
  <si>
    <t>EOT EVENT SUMMARY</t>
  </si>
  <si>
    <t>Project Finish Before</t>
  </si>
  <si>
    <t>Project Finish After</t>
  </si>
  <si>
    <t>Project Finish Movement</t>
  </si>
  <si>
    <t>Event-Level EOT Position</t>
  </si>
  <si>
    <t>76 calendar days</t>
  </si>
  <si>
    <t>117 calendar days</t>
  </si>
  <si>
    <t>Event01</t>
  </si>
  <si>
    <t>EV01 – Employer’s Late Supply of Free-Issue Reinforcement Steel - Batch01</t>
  </si>
  <si>
    <t>EV01 – Employer’s Late Supply of Free-Issue Reinforcement Steel - Batch02</t>
  </si>
  <si>
    <t>EV01 – Employer’s Late Supply of Free-Issue Reinforcement Steel - Batch03</t>
  </si>
  <si>
    <t>EV02 – Issuance of Revised IFC Drawings Causing Rework and Delay</t>
  </si>
  <si>
    <t>EV03 – Engineer Instructed Additional MEP Embedded Works</t>
  </si>
  <si>
    <t>EV04 – Engineer’s Delayed Response to RFI and Required Technical Clarification</t>
  </si>
  <si>
    <t>EOT = Event02 Finish Date - Event01 Start Date [ (15-Sep-27) - (12-May-2027) ]   = 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</si>
</sst>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8">
    <font>
      <sz val="11"/>
      <name val="Carlito"/>
    </font>
    <font>
      <b/>
      <sz val="16"/>
      <color rgb="FFFFFFFF"/>
      <name val="Carlito"/>
    </font>
    <font>
      <b/>
      <sz val="10"/>
      <color rgb="FFFFFFFF"/>
      <name val="Carlito"/>
    </font>
    <font>
      <sz val="10"/>
      <color rgb="FF1F2937"/>
      <name val="Carlito"/>
    </font>
    <font>
      <b/>
      <sz val="12"/>
      <color rgb="FFFFFFFF"/>
      <name val="Carlito"/>
    </font>
    <font>
      <b/>
      <sz val="10"/>
      <color rgb="FF17365D"/>
      <name val="Carlito"/>
    </font>
    <font>
      <b/>
      <sz val="10"/>
      <color rgb="FF7F6000"/>
      <name val="Carlito"/>
    </font>
    <font>
      <b/>
      <i/>
      <sz val="11"/>
      <color rgb="FF7F6000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3F6FB"/>
      </patternFill>
    </fill>
    <fill>
      <patternFill patternType="solid">
        <fgColor rgb="FF2F5597"/>
      </patternFill>
    </fill>
    <fill>
      <patternFill patternType="solid">
        <fgColor rgb="FF4472C4"/>
      </patternFill>
    </fill>
    <fill>
      <patternFill patternType="solid">
        <fgColor rgb="FFEEF3F8"/>
      </patternFill>
    </fill>
    <fill>
      <patternFill patternType="solid">
        <fgColor rgb="FFFFFFFF"/>
      </patternFill>
    </fill>
    <fill>
      <patternFill patternType="solid">
        <fgColor rgb="FFD9E2F3"/>
      </patternFill>
    </fill>
    <fill>
      <patternFill patternType="solid">
        <fgColor rgb="FFFFF2CC"/>
      </patternFill>
    </fill>
    <fill>
      <patternFill patternType="solid">
        <fgColor rgb="FFFFF7E6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rgb="FFD6B656"/>
      </left>
      <right/>
      <top style="thin">
        <color rgb="FFD6B656"/>
      </top>
      <bottom style="thin">
        <color rgb="FFD6B656"/>
      </bottom>
      <diagonal/>
    </border>
    <border>
      <left/>
      <right/>
      <top style="thin">
        <color rgb="FFD6B656"/>
      </top>
      <bottom style="thin">
        <color rgb="FFD6B656"/>
      </bottom>
      <diagonal/>
    </border>
    <border>
      <left/>
      <right style="thin">
        <color rgb="FFD6B656"/>
      </right>
      <top style="thin">
        <color rgb="FFD6B656"/>
      </top>
      <bottom style="thin">
        <color rgb="FFD6B65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6B1C2"/>
      </left>
      <right style="thin">
        <color rgb="FFA6B1C2"/>
      </right>
      <top style="thin">
        <color rgb="FFA6B1C2"/>
      </top>
      <bottom style="thin">
        <color rgb="FFA6B1C2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5" borderId="4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vertical="center" wrapText="1"/>
    </xf>
    <xf numFmtId="164" fontId="3" fillId="6" borderId="4" xfId="0" applyNumberFormat="1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1" fontId="3" fillId="6" borderId="4" xfId="0" applyNumberFormat="1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left" vertical="center" wrapText="1"/>
    </xf>
    <xf numFmtId="0" fontId="3" fillId="7" borderId="4" xfId="0" applyFont="1" applyFill="1" applyBorder="1" applyAlignment="1">
      <alignment vertical="center" wrapText="1"/>
    </xf>
    <xf numFmtId="164" fontId="3" fillId="7" borderId="4" xfId="0" applyNumberFormat="1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1" fontId="3" fillId="7" borderId="4" xfId="0" applyNumberFormat="1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left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7" fillId="10" borderId="2" xfId="0" applyFont="1" applyFill="1" applyBorder="1" applyAlignment="1">
      <alignment horizontal="left" vertical="center" wrapText="1"/>
    </xf>
    <xf numFmtId="0" fontId="7" fillId="10" borderId="3" xfId="0" applyFont="1" applyFill="1" applyBorder="1" applyAlignment="1">
      <alignment horizontal="left" vertical="center" wrapText="1"/>
    </xf>
    <xf numFmtId="0" fontId="3" fillId="7" borderId="5" xfId="0" applyFont="1" applyFill="1" applyBorder="1" applyAlignment="1">
      <alignment horizontal="center" vertical="center" wrapText="1"/>
    </xf>
    <xf numFmtId="164" fontId="3" fillId="7" borderId="5" xfId="0" applyNumberFormat="1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164" fontId="3" fillId="3" borderId="5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b/>
        <color rgb="FF548235"/>
      </font>
      <fill>
        <patternFill patternType="solid">
          <bgColor rgb="FFE2F0D9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C00000"/>
      </font>
      <fill>
        <patternFill patternType="solid">
          <bgColor rgb="FFFDE9E7"/>
        </patternFill>
      </fill>
    </dxf>
    <dxf>
      <font>
        <b/>
        <color rgb="FFC00000"/>
      </font>
      <fill>
        <patternFill patternType="solid">
          <bgColor rgb="FFFDE9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A17" sqref="A17:K17"/>
    </sheetView>
  </sheetViews>
  <sheetFormatPr defaultRowHeight="13.8"/>
  <cols>
    <col min="1" max="1" width="34.796875" customWidth="1"/>
    <col min="2" max="2" width="13" customWidth="1"/>
    <col min="3" max="3" width="15" customWidth="1"/>
    <col min="4" max="4" width="29" customWidth="1"/>
    <col min="5" max="5" width="12" customWidth="1"/>
    <col min="6" max="6" width="15" customWidth="1"/>
    <col min="7" max="7" width="12" customWidth="1"/>
    <col min="8" max="8" width="15" customWidth="1"/>
    <col min="9" max="9" width="12" customWidth="1"/>
    <col min="10" max="10" width="16" customWidth="1"/>
    <col min="11" max="11" width="27" customWidth="1"/>
  </cols>
  <sheetData>
    <row r="1" spans="1:11" ht="24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ht="22.35" customHeight="1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24"/>
      <c r="G2" s="24" t="s">
        <v>6</v>
      </c>
      <c r="H2" s="24"/>
      <c r="I2" s="24" t="s">
        <v>7</v>
      </c>
      <c r="J2" s="24" t="s">
        <v>8</v>
      </c>
      <c r="K2" s="24" t="s">
        <v>9</v>
      </c>
    </row>
    <row r="3" spans="1:11" ht="22.35" customHeight="1">
      <c r="A3" s="25"/>
      <c r="B3" s="25"/>
      <c r="C3" s="25"/>
      <c r="D3" s="25"/>
      <c r="E3" s="1" t="s">
        <v>10</v>
      </c>
      <c r="F3" s="1" t="s">
        <v>11</v>
      </c>
      <c r="G3" s="1" t="s">
        <v>10</v>
      </c>
      <c r="H3" s="1" t="s">
        <v>11</v>
      </c>
      <c r="I3" s="25"/>
      <c r="J3" s="25"/>
      <c r="K3" s="25"/>
    </row>
    <row r="4" spans="1:11" ht="22.35" customHeight="1">
      <c r="A4" s="12" t="s">
        <v>25</v>
      </c>
      <c r="B4" s="12"/>
      <c r="C4" s="12"/>
      <c r="D4" s="12"/>
      <c r="E4" s="12"/>
      <c r="F4" s="12"/>
      <c r="G4" s="12"/>
      <c r="H4" s="12"/>
      <c r="I4" s="12"/>
      <c r="J4" s="12"/>
      <c r="K4" s="12"/>
    </row>
    <row r="5" spans="1:11" ht="26.4">
      <c r="A5" s="2" t="s">
        <v>26</v>
      </c>
      <c r="B5" s="3">
        <v>45961</v>
      </c>
      <c r="C5" s="4" t="s">
        <v>12</v>
      </c>
      <c r="D5" s="2" t="s">
        <v>13</v>
      </c>
      <c r="E5" s="5">
        <v>2</v>
      </c>
      <c r="F5" s="3">
        <v>46151</v>
      </c>
      <c r="G5" s="5">
        <v>2</v>
      </c>
      <c r="H5" s="3">
        <v>46151</v>
      </c>
      <c r="I5" s="5">
        <f t="shared" ref="I5:I8" si="0">G5-E5</f>
        <v>0</v>
      </c>
      <c r="J5" s="5">
        <f>H5-F5</f>
        <v>0</v>
      </c>
      <c r="K5" s="6" t="str">
        <f t="shared" ref="K5:K10" si="1">IF(J5=0,"No demonstrated impact",IF(C5="KD-MS-1050","EOT-driving project impact","Intermediate milestone impact"))</f>
        <v>No demonstrated impact</v>
      </c>
    </row>
    <row r="6" spans="1:11" ht="26.4">
      <c r="A6" s="2" t="s">
        <v>26</v>
      </c>
      <c r="B6" s="3">
        <v>45961</v>
      </c>
      <c r="C6" s="4" t="s">
        <v>14</v>
      </c>
      <c r="D6" s="2" t="s">
        <v>15</v>
      </c>
      <c r="E6" s="5">
        <v>-4</v>
      </c>
      <c r="F6" s="3">
        <v>46491</v>
      </c>
      <c r="G6" s="5">
        <v>-4</v>
      </c>
      <c r="H6" s="3">
        <v>46491</v>
      </c>
      <c r="I6" s="5">
        <f t="shared" si="0"/>
        <v>0</v>
      </c>
      <c r="J6" s="5">
        <f t="shared" ref="J6:J8" si="2">H6-F6</f>
        <v>0</v>
      </c>
      <c r="K6" s="6" t="str">
        <f t="shared" si="1"/>
        <v>No demonstrated impact</v>
      </c>
    </row>
    <row r="7" spans="1:11" ht="26.4">
      <c r="A7" s="2" t="s">
        <v>27</v>
      </c>
      <c r="B7" s="8">
        <v>45987</v>
      </c>
      <c r="C7" s="9" t="s">
        <v>12</v>
      </c>
      <c r="D7" s="7" t="s">
        <v>13</v>
      </c>
      <c r="E7" s="10">
        <v>-15</v>
      </c>
      <c r="F7" s="8">
        <v>46168</v>
      </c>
      <c r="G7" s="10">
        <v>-141</v>
      </c>
      <c r="H7" s="8">
        <v>46294</v>
      </c>
      <c r="I7" s="10">
        <f t="shared" si="0"/>
        <v>-126</v>
      </c>
      <c r="J7" s="10">
        <f t="shared" si="2"/>
        <v>126</v>
      </c>
      <c r="K7" s="11" t="str">
        <f t="shared" si="1"/>
        <v>Intermediate milestone impact</v>
      </c>
    </row>
    <row r="8" spans="1:11" ht="26.4">
      <c r="A8" s="2" t="s">
        <v>27</v>
      </c>
      <c r="B8" s="8">
        <v>45987</v>
      </c>
      <c r="C8" s="9" t="s">
        <v>14</v>
      </c>
      <c r="D8" s="7" t="s">
        <v>15</v>
      </c>
      <c r="E8" s="10">
        <v>-32</v>
      </c>
      <c r="F8" s="8">
        <v>46519</v>
      </c>
      <c r="G8" s="10">
        <v>-149</v>
      </c>
      <c r="H8" s="8">
        <v>46636</v>
      </c>
      <c r="I8" s="10">
        <f t="shared" si="0"/>
        <v>-117</v>
      </c>
      <c r="J8" s="10">
        <f t="shared" si="2"/>
        <v>117</v>
      </c>
      <c r="K8" s="11" t="str">
        <f t="shared" si="1"/>
        <v>EOT-driving project impact</v>
      </c>
    </row>
    <row r="9" spans="1:11" ht="26.4">
      <c r="A9" s="2" t="s">
        <v>28</v>
      </c>
      <c r="B9" s="3">
        <v>46035</v>
      </c>
      <c r="C9" s="4" t="s">
        <v>12</v>
      </c>
      <c r="D9" s="2" t="s">
        <v>13</v>
      </c>
      <c r="E9" s="5">
        <v>-35</v>
      </c>
      <c r="F9" s="3">
        <v>46188</v>
      </c>
      <c r="G9" s="5">
        <v>-82</v>
      </c>
      <c r="H9" s="3">
        <v>46235</v>
      </c>
      <c r="I9" s="5">
        <f t="shared" ref="I9:I10" si="3">G9-E9</f>
        <v>-47</v>
      </c>
      <c r="J9" s="5">
        <f t="shared" ref="J9:J10" si="4">H9-F9</f>
        <v>47</v>
      </c>
      <c r="K9" s="6" t="str">
        <f t="shared" si="1"/>
        <v>Intermediate milestone impact</v>
      </c>
    </row>
    <row r="10" spans="1:11" ht="26.4">
      <c r="A10" s="2" t="s">
        <v>28</v>
      </c>
      <c r="B10" s="3">
        <v>46035</v>
      </c>
      <c r="C10" s="4" t="s">
        <v>14</v>
      </c>
      <c r="D10" s="2" t="s">
        <v>15</v>
      </c>
      <c r="E10" s="5">
        <v>-47</v>
      </c>
      <c r="F10" s="3">
        <v>46534</v>
      </c>
      <c r="G10" s="5">
        <v>-84</v>
      </c>
      <c r="H10" s="3">
        <v>46571</v>
      </c>
      <c r="I10" s="5">
        <f t="shared" si="3"/>
        <v>-37</v>
      </c>
      <c r="J10" s="5">
        <f t="shared" si="4"/>
        <v>37</v>
      </c>
      <c r="K10" s="6" t="str">
        <f t="shared" si="1"/>
        <v>EOT-driving project impact</v>
      </c>
    </row>
    <row r="11" spans="1:11" ht="26.4">
      <c r="A11" s="7" t="s">
        <v>29</v>
      </c>
      <c r="B11" s="8">
        <v>46098</v>
      </c>
      <c r="C11" s="9" t="s">
        <v>12</v>
      </c>
      <c r="D11" s="7" t="s">
        <v>13</v>
      </c>
      <c r="E11" s="10">
        <v>-78</v>
      </c>
      <c r="F11" s="8">
        <v>46231</v>
      </c>
      <c r="G11" s="10">
        <v>-163</v>
      </c>
      <c r="H11" s="8">
        <v>46316</v>
      </c>
      <c r="I11" s="10">
        <f t="shared" ref="I11:I14" si="5">G11-E11</f>
        <v>-85</v>
      </c>
      <c r="J11" s="10">
        <f t="shared" ref="J11:J14" si="6">H11-F11</f>
        <v>85</v>
      </c>
      <c r="K11" s="11" t="str">
        <f t="shared" ref="K11:K14" si="7">IF(J11=0,"No demonstrated impact",IF(C11="KD-MS-1050","EOT-driving project impact","Intermediate milestone impact"))</f>
        <v>Intermediate milestone impact</v>
      </c>
    </row>
    <row r="12" spans="1:11" ht="26.4">
      <c r="A12" s="7" t="s">
        <v>29</v>
      </c>
      <c r="B12" s="8">
        <v>46098</v>
      </c>
      <c r="C12" s="9" t="s">
        <v>14</v>
      </c>
      <c r="D12" s="7" t="s">
        <v>15</v>
      </c>
      <c r="E12" s="10">
        <v>-87</v>
      </c>
      <c r="F12" s="8">
        <v>46574</v>
      </c>
      <c r="G12" s="10">
        <v>-158</v>
      </c>
      <c r="H12" s="8">
        <v>46645</v>
      </c>
      <c r="I12" s="10">
        <f t="shared" si="5"/>
        <v>-71</v>
      </c>
      <c r="J12" s="10">
        <f t="shared" si="6"/>
        <v>71</v>
      </c>
      <c r="K12" s="11" t="str">
        <f t="shared" si="7"/>
        <v>EOT-driving project impact</v>
      </c>
    </row>
    <row r="13" spans="1:11" ht="26.4">
      <c r="A13" s="2" t="s">
        <v>30</v>
      </c>
      <c r="B13" s="3">
        <v>46016</v>
      </c>
      <c r="C13" s="4" t="s">
        <v>12</v>
      </c>
      <c r="D13" s="2" t="s">
        <v>13</v>
      </c>
      <c r="E13" s="5">
        <v>-6</v>
      </c>
      <c r="F13" s="3">
        <v>46159</v>
      </c>
      <c r="G13" s="5">
        <v>-6</v>
      </c>
      <c r="H13" s="3">
        <v>46159</v>
      </c>
      <c r="I13" s="5">
        <f t="shared" si="5"/>
        <v>0</v>
      </c>
      <c r="J13" s="5">
        <f t="shared" si="6"/>
        <v>0</v>
      </c>
      <c r="K13" s="6" t="str">
        <f t="shared" si="7"/>
        <v>No demonstrated impact</v>
      </c>
    </row>
    <row r="14" spans="1:11" ht="26.4">
      <c r="A14" s="2" t="s">
        <v>30</v>
      </c>
      <c r="B14" s="3">
        <v>46016</v>
      </c>
      <c r="C14" s="4" t="s">
        <v>14</v>
      </c>
      <c r="D14" s="2" t="s">
        <v>15</v>
      </c>
      <c r="E14" s="5">
        <v>-19</v>
      </c>
      <c r="F14" s="3">
        <v>46506</v>
      </c>
      <c r="G14" s="5">
        <v>-19</v>
      </c>
      <c r="H14" s="3">
        <v>46506</v>
      </c>
      <c r="I14" s="5">
        <f t="shared" si="5"/>
        <v>0</v>
      </c>
      <c r="J14" s="5">
        <f t="shared" si="6"/>
        <v>0</v>
      </c>
      <c r="K14" s="6" t="str">
        <f t="shared" si="7"/>
        <v>No demonstrated impact</v>
      </c>
    </row>
    <row r="15" spans="1:11" ht="26.4">
      <c r="A15" s="7" t="s">
        <v>31</v>
      </c>
      <c r="B15" s="8">
        <v>46067</v>
      </c>
      <c r="C15" s="9" t="s">
        <v>12</v>
      </c>
      <c r="D15" s="7" t="s">
        <v>13</v>
      </c>
      <c r="E15" s="10">
        <v>-78</v>
      </c>
      <c r="F15" s="8">
        <v>46231</v>
      </c>
      <c r="G15" s="10">
        <v>-78</v>
      </c>
      <c r="H15" s="8">
        <v>46231</v>
      </c>
      <c r="I15" s="10">
        <f t="shared" ref="I15:I16" si="8">G15-E15</f>
        <v>0</v>
      </c>
      <c r="J15" s="10">
        <f t="shared" ref="J15:J16" si="9">H15-F15</f>
        <v>0</v>
      </c>
      <c r="K15" s="11" t="str">
        <f t="shared" ref="K15:K16" si="10">IF(J15=0,"No demonstrated impact",IF(C15="KD-MS-1050","EOT-driving project impact","Intermediate milestone impact"))</f>
        <v>No demonstrated impact</v>
      </c>
    </row>
    <row r="16" spans="1:11" ht="26.4">
      <c r="A16" s="7" t="s">
        <v>31</v>
      </c>
      <c r="B16" s="8">
        <v>46067</v>
      </c>
      <c r="C16" s="9" t="s">
        <v>14</v>
      </c>
      <c r="D16" s="7" t="s">
        <v>15</v>
      </c>
      <c r="E16" s="10">
        <v>-87</v>
      </c>
      <c r="F16" s="8">
        <v>46574</v>
      </c>
      <c r="G16" s="10">
        <v>-87</v>
      </c>
      <c r="H16" s="8">
        <v>46574</v>
      </c>
      <c r="I16" s="10">
        <f t="shared" si="8"/>
        <v>0</v>
      </c>
      <c r="J16" s="10">
        <f t="shared" si="9"/>
        <v>0</v>
      </c>
      <c r="K16" s="11" t="str">
        <f t="shared" si="10"/>
        <v>No demonstrated impact</v>
      </c>
    </row>
    <row r="17" spans="1:11" ht="19.2" customHeight="1">
      <c r="A17" s="21" t="s">
        <v>18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25.65" customHeight="1">
      <c r="A18" s="22" t="s">
        <v>1</v>
      </c>
      <c r="B18" s="22"/>
      <c r="C18" s="22"/>
      <c r="D18" s="22" t="s">
        <v>19</v>
      </c>
      <c r="E18" s="22"/>
      <c r="F18" s="22" t="s">
        <v>20</v>
      </c>
      <c r="G18" s="22"/>
      <c r="H18" s="22" t="s">
        <v>21</v>
      </c>
      <c r="I18" s="22"/>
      <c r="J18" s="22" t="s">
        <v>22</v>
      </c>
      <c r="K18" s="22"/>
    </row>
    <row r="19" spans="1:11" ht="17.55" customHeight="1">
      <c r="A19" s="19" t="s">
        <v>16</v>
      </c>
      <c r="B19" s="19"/>
      <c r="C19" s="19"/>
      <c r="D19" s="20">
        <v>46519</v>
      </c>
      <c r="E19" s="20"/>
      <c r="F19" s="20">
        <v>46636</v>
      </c>
      <c r="G19" s="20"/>
      <c r="H19" s="18">
        <f t="shared" ref="H19:H20" si="11">F19-D19</f>
        <v>117</v>
      </c>
      <c r="I19" s="18"/>
      <c r="J19" s="18" t="s">
        <v>24</v>
      </c>
      <c r="K19" s="18"/>
    </row>
    <row r="20" spans="1:11" ht="17.55" customHeight="1">
      <c r="A20" s="16" t="s">
        <v>17</v>
      </c>
      <c r="B20" s="16"/>
      <c r="C20" s="16"/>
      <c r="D20" s="17">
        <v>46574</v>
      </c>
      <c r="E20" s="17"/>
      <c r="F20" s="17">
        <v>46645</v>
      </c>
      <c r="G20" s="17"/>
      <c r="H20" s="18">
        <f t="shared" si="11"/>
        <v>71</v>
      </c>
      <c r="I20" s="18"/>
      <c r="J20" s="18" t="s">
        <v>23</v>
      </c>
      <c r="K20" s="18"/>
    </row>
    <row r="21" spans="1:11" ht="34.200000000000003" customHeight="1">
      <c r="A21" s="13" t="s">
        <v>32</v>
      </c>
      <c r="B21" s="14"/>
      <c r="C21" s="14"/>
      <c r="D21" s="14"/>
      <c r="E21" s="15"/>
    </row>
  </sheetData>
  <mergeCells count="27">
    <mergeCell ref="A1:K1"/>
    <mergeCell ref="A2:A3"/>
    <mergeCell ref="B2:B3"/>
    <mergeCell ref="C2:C3"/>
    <mergeCell ref="D2:D3"/>
    <mergeCell ref="E2:F2"/>
    <mergeCell ref="G2:H2"/>
    <mergeCell ref="I2:I3"/>
    <mergeCell ref="J2:J3"/>
    <mergeCell ref="K2:K3"/>
    <mergeCell ref="A17:K17"/>
    <mergeCell ref="A18:C18"/>
    <mergeCell ref="D18:E18"/>
    <mergeCell ref="F18:G18"/>
    <mergeCell ref="H18:I18"/>
    <mergeCell ref="J18:K18"/>
    <mergeCell ref="J20:K20"/>
    <mergeCell ref="A19:C19"/>
    <mergeCell ref="D19:E19"/>
    <mergeCell ref="F19:G19"/>
    <mergeCell ref="H19:I19"/>
    <mergeCell ref="J19:K19"/>
    <mergeCell ref="A21:E21"/>
    <mergeCell ref="A20:C20"/>
    <mergeCell ref="D20:E20"/>
    <mergeCell ref="F20:G20"/>
    <mergeCell ref="H20:I20"/>
  </mergeCells>
  <conditionalFormatting sqref="E5:E16">
    <cfRule type="expression" dxfId="3" priority="5">
      <formula>E5&lt;0</formula>
    </cfRule>
  </conditionalFormatting>
  <conditionalFormatting sqref="G5:G16">
    <cfRule type="expression" dxfId="2" priority="1">
      <formula>G5&lt;0</formula>
    </cfRule>
  </conditionalFormatting>
  <conditionalFormatting sqref="J5:J16">
    <cfRule type="expression" dxfId="1" priority="7">
      <formula>J5&gt;0</formula>
    </cfRule>
    <cfRule type="expression" dxfId="0" priority="8">
      <formula>J5=0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TIA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2026-07-09T12:40:03Z</dcterms:modified>
</cp:coreProperties>
</file>